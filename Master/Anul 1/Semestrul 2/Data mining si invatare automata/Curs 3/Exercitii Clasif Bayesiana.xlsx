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5DB8B7-E296-4DDC-8482-341AEE5F783E}" xr6:coauthVersionLast="47" xr6:coauthVersionMax="47" xr10:uidLastSave="{00000000-0000-0000-0000-000000000000}"/>
  <bookViews>
    <workbookView xWindow="-120" yWindow="-120" windowWidth="29040" windowHeight="15840" xr2:uid="{0873510D-6174-4915-BBE2-0229BA57FF2C}"/>
  </bookViews>
  <sheets>
    <sheet name="Lectia 1 Ex. rezolvat" sheetId="1" r:id="rId1"/>
    <sheet name="Ex. Whitetable" sheetId="2" r:id="rId2"/>
  </sheets>
  <definedNames>
    <definedName name="_xlnm._FilterDatabase" localSheetId="1" hidden="1">'Ex. Whitetable'!$A$3:$D$13</definedName>
    <definedName name="_xlnm._FilterDatabase" localSheetId="0" hidden="1">'Lectia 1 Ex. rezolvat'!$A$5:$E$15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2" l="1"/>
  <c r="D47" i="2"/>
  <c r="E46" i="2"/>
  <c r="D46" i="2"/>
  <c r="C47" i="2"/>
  <c r="C46" i="2"/>
  <c r="B23" i="2"/>
  <c r="B22" i="2"/>
  <c r="B42" i="2"/>
  <c r="B39" i="2"/>
  <c r="B44" i="2"/>
  <c r="B43" i="2"/>
  <c r="C44" i="2"/>
  <c r="C43" i="2"/>
  <c r="C42" i="2"/>
  <c r="C39" i="2"/>
  <c r="C38" i="2"/>
  <c r="C37" i="2"/>
  <c r="B38" i="2"/>
  <c r="B37" i="2"/>
  <c r="C48" i="1"/>
  <c r="C49" i="1"/>
  <c r="C50" i="1"/>
  <c r="B51" i="1"/>
  <c r="B49" i="1"/>
  <c r="B41" i="1"/>
  <c r="B62" i="1"/>
  <c r="C62" i="1"/>
  <c r="D62" i="1"/>
  <c r="D56" i="1"/>
  <c r="D55" i="1"/>
  <c r="D54" i="1"/>
  <c r="C54" i="1"/>
  <c r="C55" i="1"/>
  <c r="C56" i="1"/>
  <c r="B56" i="1"/>
  <c r="B55" i="1"/>
  <c r="B54" i="1"/>
  <c r="D51" i="1"/>
  <c r="D50" i="1"/>
  <c r="D48" i="1"/>
  <c r="D49" i="1"/>
  <c r="C51" i="1"/>
  <c r="B50" i="1"/>
  <c r="B48" i="1"/>
  <c r="B43" i="1"/>
  <c r="B42" i="1"/>
</calcChain>
</file>

<file path=xl/sharedStrings.xml><?xml version="1.0" encoding="utf-8"?>
<sst xmlns="http://schemas.openxmlformats.org/spreadsheetml/2006/main" count="144" uniqueCount="75">
  <si>
    <t>ID</t>
  </si>
  <si>
    <t>Venit Lunar</t>
  </si>
  <si>
    <t>Credit</t>
  </si>
  <si>
    <t>Clasa</t>
  </si>
  <si>
    <t>Bun</t>
  </si>
  <si>
    <t>Excelent</t>
  </si>
  <si>
    <t>Nesatisfacator</t>
  </si>
  <si>
    <t>h1</t>
  </si>
  <si>
    <t>h2</t>
  </si>
  <si>
    <t>h3</t>
  </si>
  <si>
    <t>Interval_venit</t>
  </si>
  <si>
    <t xml:space="preserve">corespunde intervalului </t>
  </si>
  <si>
    <t>[0,400)</t>
  </si>
  <si>
    <t>[400,2000)</t>
  </si>
  <si>
    <t>[2000,4000)</t>
  </si>
  <si>
    <t>[4000, infinit)</t>
  </si>
  <si>
    <t>Multimea de traning</t>
  </si>
  <si>
    <t>Avem 3 ipoteze :</t>
  </si>
  <si>
    <t>H = h1 + h2 + h3</t>
  </si>
  <si>
    <t>h1 = se acorda creditul</t>
  </si>
  <si>
    <t>h2 = se acorda creditul dar cu anumite restrictii</t>
  </si>
  <si>
    <t>h3 = nu se acorda creditul</t>
  </si>
  <si>
    <t>Sa se aplice clasificarea bayesiana pentru a determina valoarea atributului tinta Clasa</t>
  </si>
  <si>
    <t>&gt; pe baza acesteia se decide daca se acorda sau nu credit la cumpararea unui produs unui client in functie de venitul lunar al acestuia (atribut continuu) si de indicele de creditare ( atribut discret)</t>
  </si>
  <si>
    <t>Transformam atributul Venit Lunar din variabila continua in variabila discreta prin introducerea atributului: Interval_venit</t>
  </si>
  <si>
    <t>Multimea evenimentelor observabile</t>
  </si>
  <si>
    <t>X = {(1,Excelent),(1, Bun), (1, Nesatisfacator),(2,Excelent),(2, Bun), (2, Nesatisfacator),(3,Excelent),(3, Bun), (3, Nesatisfacator), (4,Excelent),(4, Bun), (4, Nesatisfacator)}</t>
  </si>
  <si>
    <t>maxP(hi/{interval_venit=4, Credit = Excelent})</t>
  </si>
  <si>
    <t>Regula lui Bayes:</t>
  </si>
  <si>
    <t>P(hi/{Interval_venit = 4, Credit = Excelent})</t>
  </si>
  <si>
    <t>=</t>
  </si>
  <si>
    <t>P({Interval_venit = 4, Credit = Excelent})/hi)P(hi) / P({Interval_venit = 4, Credit = Excelent})</t>
  </si>
  <si>
    <t>max{P({Interval_venit=4}/hi)}* P({Credit = Excelent}/hi)*P(Hi)</t>
  </si>
  <si>
    <t>Calculam probabilitatile:</t>
  </si>
  <si>
    <t>H</t>
  </si>
  <si>
    <t>P(H)</t>
  </si>
  <si>
    <t>Interval Venit \ H</t>
  </si>
  <si>
    <t>Credit \ H</t>
  </si>
  <si>
    <t>pentru i=1</t>
  </si>
  <si>
    <t>P({Interval_venit = 4, Credit = Excelent}/h1)</t>
  </si>
  <si>
    <t>???</t>
  </si>
  <si>
    <t>pentru fiecare i de la 1 la 3 vom calcula probabilitatea cea mai mare pe care o vom atribui clasei</t>
  </si>
  <si>
    <t>observa multimea de traning si determina cate aparitii h1 sunt evidentiate, in cazul acesta 6 aparitii din 10</t>
  </si>
  <si>
    <r>
      <t xml:space="preserve">Bazându-ne pe calculele bayesiene, </t>
    </r>
    <r>
      <rPr>
        <b/>
        <sz val="8"/>
        <color rgb="FF000000"/>
        <rFont val="Arial"/>
        <family val="2"/>
      </rPr>
      <t>predicția</t>
    </r>
    <r>
      <rPr>
        <sz val="8"/>
        <color rgb="FF000000"/>
        <rFont val="Arial"/>
        <family val="2"/>
      </rPr>
      <t xml:space="preserve"> indică că </t>
    </r>
    <r>
      <rPr>
        <b/>
        <sz val="8"/>
        <color rgb="FF000000"/>
        <rFont val="Arial"/>
        <family val="2"/>
      </rPr>
      <t>clientul</t>
    </r>
    <r>
      <rPr>
        <sz val="8"/>
        <color rgb="FF000000"/>
        <rFont val="Arial"/>
        <family val="2"/>
      </rPr>
      <t xml:space="preserve"> cel mai probabil </t>
    </r>
    <r>
      <rPr>
        <b/>
        <sz val="8"/>
        <color rgb="FF000000"/>
        <rFont val="Arial"/>
        <family val="2"/>
      </rPr>
      <t>se încadrează în clasa h1</t>
    </r>
    <r>
      <rPr>
        <sz val="8"/>
        <color rgb="FF000000"/>
        <rFont val="Arial"/>
        <family val="2"/>
      </rPr>
      <t xml:space="preserve">, ceea ce înseamnă că </t>
    </r>
    <r>
      <rPr>
        <b/>
        <sz val="8"/>
        <color rgb="FF000000"/>
        <rFont val="Arial"/>
        <family val="2"/>
      </rPr>
      <t>se acordă creditul</t>
    </r>
  </si>
  <si>
    <t>observa multimea de training si determina cate aparitii sunt de h1(6), h2(2) si h3(2), pentru fiecare h observa cate aparitii sunt pentru intervalele 1, 2, 3 si 4</t>
  </si>
  <si>
    <t>Calcul probabilitati din care selectam maximul obtinut</t>
  </si>
  <si>
    <t>workclass</t>
  </si>
  <si>
    <t>relationship</t>
  </si>
  <si>
    <t>Income</t>
  </si>
  <si>
    <t>State-gov</t>
  </si>
  <si>
    <t>Self-emp-not-inc</t>
  </si>
  <si>
    <t>Private</t>
  </si>
  <si>
    <t>Not-in-family</t>
  </si>
  <si>
    <t>Husband</t>
  </si>
  <si>
    <t>Wife</t>
  </si>
  <si>
    <t>&lt;=50k</t>
  </si>
  <si>
    <t>&gt;50K</t>
  </si>
  <si>
    <t>Estimeaza valoarea venitului unei persoane daca este &gt;50k sau  &lt;=50k</t>
  </si>
  <si>
    <t>Atributele bazei de date : Workclass, relationship, Income</t>
  </si>
  <si>
    <t>Pentru a face predcitii se calculeaza</t>
  </si>
  <si>
    <t>h1 (&lt;=50k)</t>
  </si>
  <si>
    <t>h2 (&gt;50k)</t>
  </si>
  <si>
    <t>H = h1 + h2</t>
  </si>
  <si>
    <t>Vrem sa determinam valoarea estimata de catre clasificarea bayesiana pentru evenimentul {workclass = Private, relationship = Not-in-family}</t>
  </si>
  <si>
    <t>Trebuie sa determinam P(income&lt;=50k/x) si P(income&gt;50k/x) vom avele evenimentul cu probabilitatea cea mai mare</t>
  </si>
  <si>
    <t>Regula lui Bayes</t>
  </si>
  <si>
    <t>P(h/x) = P(x/h)P(h)/P(x)</t>
  </si>
  <si>
    <t>P(h/x) = P(x={workclass = Private, relationship = Not-in-family}/h) = P({workclass = Private}/h)* P({relationship = Not-in-family}/h)</t>
  </si>
  <si>
    <t>workclass\ H</t>
  </si>
  <si>
    <t xml:space="preserve">relationship \H </t>
  </si>
  <si>
    <t xml:space="preserve">P(h1) </t>
  </si>
  <si>
    <t xml:space="preserve">P(h2) </t>
  </si>
  <si>
    <t>Alegem probabilitatea cea mai mare in cazul nostru P(h1) insemnand &lt;=50K</t>
  </si>
  <si>
    <t>Check</t>
  </si>
  <si>
    <t xml:space="preserve">observa in multimea de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</si>
</sst>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0" borderId="0" xfId="0" applyFont="1"/>
    <xf numFmtId="0" fontId="0" fillId="0" borderId="8" xfId="0" applyBorder="1"/>
    <xf numFmtId="0" fontId="0" fillId="6" borderId="7" xfId="0" applyFill="1" applyBorder="1" applyAlignment="1">
      <alignment horizontal="center"/>
    </xf>
    <xf numFmtId="0" fontId="0" fillId="6" borderId="5" xfId="0" applyFill="1" applyBorder="1"/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" xfId="0" applyFill="1" applyBorder="1"/>
    <xf numFmtId="0" fontId="0" fillId="8" borderId="9" xfId="0" applyFill="1" applyBorder="1" applyAlignment="1">
      <alignment horizontal="center"/>
    </xf>
    <xf numFmtId="0" fontId="0" fillId="8" borderId="6" xfId="0" applyFill="1" applyBorder="1"/>
    <xf numFmtId="0" fontId="0" fillId="8" borderId="0" xfId="0" applyFill="1"/>
    <xf numFmtId="2" fontId="0" fillId="8" borderId="8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" fontId="0" fillId="8" borderId="0" xfId="0" applyNumberFormat="1" applyFill="1"/>
    <xf numFmtId="0" fontId="0" fillId="9" borderId="0" xfId="0" applyFill="1"/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0" xfId="0" applyFill="1"/>
    <xf numFmtId="0" fontId="0" fillId="10" borderId="9" xfId="0" applyFill="1" applyBorder="1" applyAlignment="1">
      <alignment horizontal="center"/>
    </xf>
    <xf numFmtId="0" fontId="0" fillId="1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311150</xdr:colOff>
      <xdr:row>1</xdr:row>
      <xdr:rowOff>0</xdr:rowOff>
    </xdr:from>
    <xdr:to>
      <xdr:col>10</xdr:col>
      <xdr:colOff>232569</xdr:colOff>
      <xdr:row>4</xdr:row>
      <xdr:rowOff>69850</xdr:rowOff>
    </xdr:to>
    <xdr:pic>
      <xdr:nvPicPr>
        <xdr:cNvPr id="2" name="Imagine 1">
          <a:extLst>
            <a:ext uri="{FF2B5EF4-FFF2-40B4-BE49-F238E27FC236}">
              <a16:creationId xmlns:a16="http://schemas.microsoft.com/office/drawing/2014/main" id="{AD13754A-5277-8374-80ED-DD8E2CCD4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9200" y="184150"/>
          <a:ext cx="1750219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A6B7-4D37-4F9F-B065-8E94D742BB69}">
  <dimension ref="A1:E64"/>
  <sheetViews>
    <sheetView tabSelected="1" topLeftCell="A31" workbookViewId="0">
      <selection activeCell="N50" sqref="N50"/>
    </sheetView>
  </sheetViews>
  <sheetFormatPr defaultRowHeight="15" x14ac:dyDescent="0.25"/>
  <cols>
    <col min="1" max="1" width="36.28515625" customWidth="1"/>
    <col min="2" max="2" width="21.140625" bestFit="1" customWidth="1"/>
    <col min="3" max="3" width="13" customWidth="1"/>
    <col min="5" max="5" width="12.42578125" customWidth="1"/>
  </cols>
  <sheetData>
    <row r="1" spans="1:5" x14ac:dyDescent="0.25">
      <c r="A1" t="s">
        <v>22</v>
      </c>
    </row>
    <row r="4" spans="1:5" x14ac:dyDescent="0.25">
      <c r="A4" t="s">
        <v>16</v>
      </c>
      <c r="B4" t="s">
        <v>23</v>
      </c>
    </row>
    <row r="5" spans="1:5" x14ac:dyDescent="0.25">
      <c r="A5" t="s">
        <v>0</v>
      </c>
      <c r="B5" t="s">
        <v>1</v>
      </c>
      <c r="C5" t="s">
        <v>2</v>
      </c>
      <c r="D5" t="s">
        <v>3</v>
      </c>
      <c r="E5" t="s">
        <v>10</v>
      </c>
    </row>
    <row r="6" spans="1:5" x14ac:dyDescent="0.25">
      <c r="A6">
        <v>1</v>
      </c>
      <c r="B6" s="2">
        <v>4800</v>
      </c>
      <c r="C6" s="2" t="s">
        <v>5</v>
      </c>
      <c r="D6" s="2" t="s">
        <v>7</v>
      </c>
      <c r="E6" s="2">
        <v>4</v>
      </c>
    </row>
    <row r="7" spans="1:5" x14ac:dyDescent="0.25">
      <c r="A7">
        <v>2</v>
      </c>
      <c r="B7">
        <v>2800</v>
      </c>
      <c r="C7" t="s">
        <v>4</v>
      </c>
      <c r="D7" t="s">
        <v>7</v>
      </c>
      <c r="E7">
        <v>3</v>
      </c>
    </row>
    <row r="8" spans="1:5" x14ac:dyDescent="0.25">
      <c r="A8">
        <v>3</v>
      </c>
      <c r="B8" s="3">
        <v>1200</v>
      </c>
      <c r="C8" s="3" t="s">
        <v>5</v>
      </c>
      <c r="D8" s="3" t="s">
        <v>7</v>
      </c>
      <c r="E8" s="3">
        <v>2</v>
      </c>
    </row>
    <row r="9" spans="1:5" x14ac:dyDescent="0.25">
      <c r="A9">
        <v>4</v>
      </c>
      <c r="B9">
        <v>2400</v>
      </c>
      <c r="C9" t="s">
        <v>4</v>
      </c>
      <c r="D9" t="s">
        <v>7</v>
      </c>
      <c r="E9">
        <v>3</v>
      </c>
    </row>
    <row r="10" spans="1:5" x14ac:dyDescent="0.25">
      <c r="A10">
        <v>5</v>
      </c>
      <c r="B10" s="2">
        <v>4400</v>
      </c>
      <c r="C10" s="2" t="s">
        <v>4</v>
      </c>
      <c r="D10" s="2" t="s">
        <v>7</v>
      </c>
      <c r="E10" s="2">
        <v>4</v>
      </c>
    </row>
    <row r="11" spans="1:5" x14ac:dyDescent="0.25">
      <c r="A11">
        <v>6</v>
      </c>
      <c r="B11" s="3">
        <v>1600</v>
      </c>
      <c r="C11" s="3" t="s">
        <v>5</v>
      </c>
      <c r="D11" s="3" t="s">
        <v>7</v>
      </c>
      <c r="E11" s="3">
        <v>2</v>
      </c>
    </row>
    <row r="12" spans="1:5" x14ac:dyDescent="0.25">
      <c r="A12">
        <v>7</v>
      </c>
      <c r="B12">
        <v>3200</v>
      </c>
      <c r="C12" t="s">
        <v>6</v>
      </c>
      <c r="D12" t="s">
        <v>8</v>
      </c>
      <c r="E12">
        <v>3</v>
      </c>
    </row>
    <row r="13" spans="1:5" x14ac:dyDescent="0.25">
      <c r="A13">
        <v>8</v>
      </c>
      <c r="B13">
        <v>1600</v>
      </c>
      <c r="C13" t="s">
        <v>6</v>
      </c>
      <c r="D13" t="s">
        <v>9</v>
      </c>
      <c r="E13">
        <v>2</v>
      </c>
    </row>
    <row r="14" spans="1:5" x14ac:dyDescent="0.25">
      <c r="A14">
        <v>9</v>
      </c>
      <c r="B14">
        <v>2400</v>
      </c>
      <c r="C14" t="s">
        <v>6</v>
      </c>
      <c r="D14" t="s">
        <v>8</v>
      </c>
      <c r="E14">
        <v>3</v>
      </c>
    </row>
    <row r="15" spans="1:5" x14ac:dyDescent="0.25">
      <c r="A15">
        <v>10</v>
      </c>
      <c r="B15">
        <v>200</v>
      </c>
      <c r="C15" t="s">
        <v>6</v>
      </c>
      <c r="D15" t="s">
        <v>9</v>
      </c>
      <c r="E15">
        <v>1</v>
      </c>
    </row>
    <row r="17" spans="1:5" x14ac:dyDescent="0.25">
      <c r="B17" s="1">
        <v>5200</v>
      </c>
      <c r="C17" s="1" t="s">
        <v>5</v>
      </c>
      <c r="D17" s="1" t="s">
        <v>40</v>
      </c>
      <c r="E17">
        <v>4</v>
      </c>
    </row>
    <row r="19" spans="1:5" x14ac:dyDescent="0.25">
      <c r="A19" t="s">
        <v>24</v>
      </c>
    </row>
    <row r="20" spans="1:5" x14ac:dyDescent="0.25">
      <c r="A20">
        <v>1</v>
      </c>
      <c r="B20" t="s">
        <v>11</v>
      </c>
      <c r="C20" t="s">
        <v>12</v>
      </c>
    </row>
    <row r="21" spans="1:5" x14ac:dyDescent="0.25">
      <c r="A21">
        <v>2</v>
      </c>
      <c r="B21" t="s">
        <v>11</v>
      </c>
      <c r="C21" t="s">
        <v>13</v>
      </c>
    </row>
    <row r="22" spans="1:5" x14ac:dyDescent="0.25">
      <c r="A22">
        <v>3</v>
      </c>
      <c r="B22" t="s">
        <v>11</v>
      </c>
      <c r="C22" t="s">
        <v>14</v>
      </c>
    </row>
    <row r="23" spans="1:5" x14ac:dyDescent="0.25">
      <c r="A23">
        <v>4</v>
      </c>
      <c r="B23" t="s">
        <v>11</v>
      </c>
      <c r="C23" t="s">
        <v>15</v>
      </c>
    </row>
    <row r="24" spans="1:5" x14ac:dyDescent="0.25">
      <c r="A24" t="s">
        <v>18</v>
      </c>
    </row>
    <row r="25" spans="1:5" x14ac:dyDescent="0.25">
      <c r="A25" t="s">
        <v>17</v>
      </c>
      <c r="B25" t="s">
        <v>19</v>
      </c>
    </row>
    <row r="26" spans="1:5" x14ac:dyDescent="0.25">
      <c r="B26" t="s">
        <v>20</v>
      </c>
    </row>
    <row r="27" spans="1:5" x14ac:dyDescent="0.25">
      <c r="B27" t="s">
        <v>21</v>
      </c>
    </row>
    <row r="29" spans="1:5" x14ac:dyDescent="0.25">
      <c r="A29" t="s">
        <v>25</v>
      </c>
    </row>
    <row r="30" spans="1:5" x14ac:dyDescent="0.25">
      <c r="A30" t="s">
        <v>26</v>
      </c>
    </row>
    <row r="32" spans="1:5" x14ac:dyDescent="0.25">
      <c r="A32" t="s">
        <v>41</v>
      </c>
    </row>
    <row r="33" spans="1:5" x14ac:dyDescent="0.25">
      <c r="A33" t="s">
        <v>27</v>
      </c>
    </row>
    <row r="34" spans="1:5" x14ac:dyDescent="0.25">
      <c r="A34" t="s">
        <v>28</v>
      </c>
    </row>
    <row r="35" spans="1:5" x14ac:dyDescent="0.25">
      <c r="A35" t="s">
        <v>29</v>
      </c>
      <c r="C35" t="s">
        <v>30</v>
      </c>
      <c r="D35" t="s">
        <v>31</v>
      </c>
    </row>
    <row r="37" spans="1:5" x14ac:dyDescent="0.25">
      <c r="A37" t="s">
        <v>32</v>
      </c>
    </row>
    <row r="39" spans="1:5" x14ac:dyDescent="0.25">
      <c r="A39" t="s">
        <v>33</v>
      </c>
    </row>
    <row r="40" spans="1:5" x14ac:dyDescent="0.25">
      <c r="A40" t="s">
        <v>34</v>
      </c>
      <c r="B40" t="s">
        <v>35</v>
      </c>
    </row>
    <row r="41" spans="1:5" x14ac:dyDescent="0.25">
      <c r="A41" s="18" t="s">
        <v>7</v>
      </c>
      <c r="B41" s="34">
        <f>6/10</f>
        <v>0.6</v>
      </c>
      <c r="C41" t="s">
        <v>42</v>
      </c>
    </row>
    <row r="42" spans="1:5" x14ac:dyDescent="0.25">
      <c r="A42" t="s">
        <v>8</v>
      </c>
      <c r="B42" s="38">
        <f>2/10</f>
        <v>0.2</v>
      </c>
    </row>
    <row r="43" spans="1:5" x14ac:dyDescent="0.25">
      <c r="A43" t="s">
        <v>9</v>
      </c>
      <c r="B43" s="41">
        <f>2/10</f>
        <v>0.2</v>
      </c>
    </row>
    <row r="46" spans="1:5" ht="15.75" thickBot="1" x14ac:dyDescent="0.3"/>
    <row r="47" spans="1:5" x14ac:dyDescent="0.25">
      <c r="A47" s="4" t="s">
        <v>36</v>
      </c>
      <c r="B47" s="5" t="s">
        <v>7</v>
      </c>
      <c r="C47" s="5" t="s">
        <v>8</v>
      </c>
      <c r="D47" s="6" t="s">
        <v>9</v>
      </c>
    </row>
    <row r="48" spans="1:5" x14ac:dyDescent="0.25">
      <c r="A48" s="7">
        <v>1</v>
      </c>
      <c r="B48" s="8">
        <f>0/6</f>
        <v>0</v>
      </c>
      <c r="C48" s="8">
        <f>0/2</f>
        <v>0</v>
      </c>
      <c r="D48" s="9">
        <f>1/2</f>
        <v>0.5</v>
      </c>
      <c r="E48" t="s">
        <v>44</v>
      </c>
    </row>
    <row r="49" spans="1:4" x14ac:dyDescent="0.25">
      <c r="A49" s="7">
        <v>2</v>
      </c>
      <c r="B49" s="10">
        <f>2/6</f>
        <v>0.33333333333333331</v>
      </c>
      <c r="C49" s="8">
        <f>0/2</f>
        <v>0</v>
      </c>
      <c r="D49" s="9">
        <f>1/2</f>
        <v>0.5</v>
      </c>
    </row>
    <row r="50" spans="1:4" x14ac:dyDescent="0.25">
      <c r="A50" s="7">
        <v>3</v>
      </c>
      <c r="B50" s="10">
        <f>2/6</f>
        <v>0.33333333333333331</v>
      </c>
      <c r="C50" s="8">
        <f>2/2</f>
        <v>1</v>
      </c>
      <c r="D50" s="9">
        <f>0/2</f>
        <v>0</v>
      </c>
    </row>
    <row r="51" spans="1:4" ht="15.75" thickBot="1" x14ac:dyDescent="0.3">
      <c r="A51" s="16">
        <v>4</v>
      </c>
      <c r="B51" s="35">
        <f>2/6</f>
        <v>0.33333333333333331</v>
      </c>
      <c r="C51" s="39">
        <f>0/2</f>
        <v>0</v>
      </c>
      <c r="D51" s="42">
        <f>0/2</f>
        <v>0</v>
      </c>
    </row>
    <row r="52" spans="1:4" ht="15.75" thickBot="1" x14ac:dyDescent="0.3"/>
    <row r="53" spans="1:4" x14ac:dyDescent="0.25">
      <c r="A53" s="4" t="s">
        <v>37</v>
      </c>
      <c r="B53" s="5" t="s">
        <v>7</v>
      </c>
      <c r="C53" s="5" t="s">
        <v>8</v>
      </c>
      <c r="D53" s="6" t="s">
        <v>9</v>
      </c>
    </row>
    <row r="54" spans="1:4" x14ac:dyDescent="0.25">
      <c r="A54" s="17" t="s">
        <v>5</v>
      </c>
      <c r="B54" s="36">
        <f>3/6</f>
        <v>0.5</v>
      </c>
      <c r="C54" s="40">
        <f>0/2</f>
        <v>0</v>
      </c>
      <c r="D54" s="43">
        <f>1/2</f>
        <v>0.5</v>
      </c>
    </row>
    <row r="55" spans="1:4" x14ac:dyDescent="0.25">
      <c r="A55" s="7" t="s">
        <v>4</v>
      </c>
      <c r="B55" s="10">
        <f>3/6</f>
        <v>0.5</v>
      </c>
      <c r="C55" s="8">
        <f>0/2</f>
        <v>0</v>
      </c>
      <c r="D55" s="9">
        <f>1/2</f>
        <v>0.5</v>
      </c>
    </row>
    <row r="56" spans="1:4" ht="15.75" thickBot="1" x14ac:dyDescent="0.3">
      <c r="A56" s="11" t="s">
        <v>6</v>
      </c>
      <c r="B56" s="12">
        <f>0/6</f>
        <v>0</v>
      </c>
      <c r="C56" s="13">
        <f>2/2</f>
        <v>1</v>
      </c>
      <c r="D56" s="14">
        <f>0/2</f>
        <v>0</v>
      </c>
    </row>
    <row r="58" spans="1:4" x14ac:dyDescent="0.25">
      <c r="A58" s="15" t="s">
        <v>38</v>
      </c>
    </row>
    <row r="60" spans="1:4" x14ac:dyDescent="0.25">
      <c r="A60" s="15" t="s">
        <v>39</v>
      </c>
      <c r="B60" t="s">
        <v>30</v>
      </c>
    </row>
    <row r="62" spans="1:4" x14ac:dyDescent="0.25">
      <c r="A62" t="s">
        <v>45</v>
      </c>
      <c r="B62" s="37">
        <f>B51*B54*$B$41</f>
        <v>9.9999999999999992E-2</v>
      </c>
      <c r="C62" s="40">
        <f t="shared" ref="C62:D62" si="0">C51*C54*$B$41</f>
        <v>0</v>
      </c>
      <c r="D62" s="43">
        <f t="shared" si="0"/>
        <v>0</v>
      </c>
    </row>
    <row r="64" spans="1:4" x14ac:dyDescent="0.25">
      <c r="A64" t="s">
        <v>43</v>
      </c>
    </row>
  </sheetData>
  <autoFilter ref="A5:E15" xr:uid="{A9BDA6B7-4D37-4F9F-B065-8E94D742BB6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D043-B58A-4B81-8D75-97EC28AB9D59}">
  <dimension ref="A1:E49"/>
  <sheetViews>
    <sheetView topLeftCell="A13" workbookViewId="0">
      <selection activeCell="D37" sqref="D37"/>
    </sheetView>
  </sheetViews>
  <sheetFormatPr defaultRowHeight="15" x14ac:dyDescent="0.25"/>
  <cols>
    <col min="1" max="1" width="17.7109375" customWidth="1"/>
    <col min="2" max="2" width="18.42578125" customWidth="1"/>
    <col min="3" max="3" width="14.7109375" customWidth="1"/>
  </cols>
  <sheetData>
    <row r="1" spans="1:4" x14ac:dyDescent="0.25">
      <c r="A1" t="s">
        <v>57</v>
      </c>
    </row>
    <row r="3" spans="1:4" x14ac:dyDescent="0.25">
      <c r="A3" t="s">
        <v>0</v>
      </c>
      <c r="B3" t="s">
        <v>46</v>
      </c>
      <c r="C3" t="s">
        <v>47</v>
      </c>
      <c r="D3" t="s">
        <v>48</v>
      </c>
    </row>
    <row r="4" spans="1:4" x14ac:dyDescent="0.25">
      <c r="A4">
        <v>0</v>
      </c>
      <c r="B4" t="s">
        <v>49</v>
      </c>
      <c r="C4" t="s">
        <v>52</v>
      </c>
      <c r="D4" t="s">
        <v>55</v>
      </c>
    </row>
    <row r="5" spans="1:4" x14ac:dyDescent="0.25">
      <c r="A5">
        <v>1</v>
      </c>
      <c r="B5" t="s">
        <v>50</v>
      </c>
      <c r="C5" t="s">
        <v>53</v>
      </c>
      <c r="D5" t="s">
        <v>55</v>
      </c>
    </row>
    <row r="6" spans="1:4" x14ac:dyDescent="0.25">
      <c r="A6">
        <v>2</v>
      </c>
      <c r="B6" t="s">
        <v>51</v>
      </c>
      <c r="C6" t="s">
        <v>52</v>
      </c>
      <c r="D6" t="s">
        <v>55</v>
      </c>
    </row>
    <row r="7" spans="1:4" x14ac:dyDescent="0.25">
      <c r="A7">
        <v>3</v>
      </c>
      <c r="B7" t="s">
        <v>51</v>
      </c>
      <c r="C7" t="s">
        <v>53</v>
      </c>
      <c r="D7" t="s">
        <v>55</v>
      </c>
    </row>
    <row r="8" spans="1:4" x14ac:dyDescent="0.25">
      <c r="A8">
        <v>4</v>
      </c>
      <c r="B8" t="s">
        <v>51</v>
      </c>
      <c r="C8" t="s">
        <v>54</v>
      </c>
      <c r="D8" t="s">
        <v>55</v>
      </c>
    </row>
    <row r="9" spans="1:4" x14ac:dyDescent="0.25">
      <c r="A9">
        <v>5</v>
      </c>
      <c r="B9" t="s">
        <v>51</v>
      </c>
      <c r="C9" t="s">
        <v>54</v>
      </c>
      <c r="D9" t="s">
        <v>55</v>
      </c>
    </row>
    <row r="10" spans="1:4" x14ac:dyDescent="0.25">
      <c r="A10">
        <v>6</v>
      </c>
      <c r="B10" t="s">
        <v>51</v>
      </c>
      <c r="C10" t="s">
        <v>52</v>
      </c>
      <c r="D10" t="s">
        <v>55</v>
      </c>
    </row>
    <row r="11" spans="1:4" x14ac:dyDescent="0.25">
      <c r="A11">
        <v>7</v>
      </c>
      <c r="B11" t="s">
        <v>50</v>
      </c>
      <c r="C11" t="s">
        <v>53</v>
      </c>
      <c r="D11" t="s">
        <v>56</v>
      </c>
    </row>
    <row r="12" spans="1:4" x14ac:dyDescent="0.25">
      <c r="A12">
        <v>8</v>
      </c>
      <c r="B12" t="s">
        <v>51</v>
      </c>
      <c r="C12" t="s">
        <v>52</v>
      </c>
      <c r="D12" t="s">
        <v>56</v>
      </c>
    </row>
    <row r="13" spans="1:4" x14ac:dyDescent="0.25">
      <c r="A13">
        <v>9</v>
      </c>
      <c r="B13" t="s">
        <v>51</v>
      </c>
      <c r="C13" t="s">
        <v>53</v>
      </c>
      <c r="D13" t="s">
        <v>56</v>
      </c>
    </row>
    <row r="15" spans="1:4" x14ac:dyDescent="0.25">
      <c r="B15" s="25" t="s">
        <v>51</v>
      </c>
      <c r="C15" s="25" t="s">
        <v>52</v>
      </c>
      <c r="D15" s="25" t="s">
        <v>40</v>
      </c>
    </row>
    <row r="17" spans="1:2" x14ac:dyDescent="0.25">
      <c r="A17" t="s">
        <v>58</v>
      </c>
    </row>
    <row r="19" spans="1:2" x14ac:dyDescent="0.25">
      <c r="A19" t="s">
        <v>59</v>
      </c>
    </row>
    <row r="20" spans="1:2" ht="15.75" thickBot="1" x14ac:dyDescent="0.3">
      <c r="A20" t="s">
        <v>62</v>
      </c>
    </row>
    <row r="21" spans="1:2" x14ac:dyDescent="0.25">
      <c r="A21" s="4" t="s">
        <v>34</v>
      </c>
      <c r="B21" s="6" t="s">
        <v>35</v>
      </c>
    </row>
    <row r="22" spans="1:2" x14ac:dyDescent="0.25">
      <c r="A22" s="7" t="s">
        <v>60</v>
      </c>
      <c r="B22" s="29">
        <f>7/10</f>
        <v>0.7</v>
      </c>
    </row>
    <row r="23" spans="1:2" ht="15.75" thickBot="1" x14ac:dyDescent="0.3">
      <c r="A23" s="11" t="s">
        <v>61</v>
      </c>
      <c r="B23" s="32">
        <f>3/10</f>
        <v>0.3</v>
      </c>
    </row>
    <row r="25" spans="1:2" x14ac:dyDescent="0.25">
      <c r="A25" t="s">
        <v>63</v>
      </c>
    </row>
    <row r="28" spans="1:2" x14ac:dyDescent="0.25">
      <c r="A28" t="s">
        <v>64</v>
      </c>
    </row>
    <row r="30" spans="1:2" x14ac:dyDescent="0.25">
      <c r="A30" t="s">
        <v>65</v>
      </c>
    </row>
    <row r="31" spans="1:2" x14ac:dyDescent="0.25">
      <c r="A31" t="s">
        <v>66</v>
      </c>
    </row>
    <row r="33" spans="1:5" x14ac:dyDescent="0.25">
      <c r="A33" t="s">
        <v>67</v>
      </c>
    </row>
    <row r="35" spans="1:5" ht="15.75" thickBot="1" x14ac:dyDescent="0.3"/>
    <row r="36" spans="1:5" x14ac:dyDescent="0.25">
      <c r="A36" s="4" t="s">
        <v>68</v>
      </c>
      <c r="B36" s="5" t="s">
        <v>60</v>
      </c>
      <c r="C36" s="6" t="s">
        <v>61</v>
      </c>
    </row>
    <row r="37" spans="1:5" x14ac:dyDescent="0.25">
      <c r="A37" s="7" t="s">
        <v>49</v>
      </c>
      <c r="B37" s="8">
        <f>1/7</f>
        <v>0.14285714285714285</v>
      </c>
      <c r="C37" s="9">
        <f>0/3</f>
        <v>0</v>
      </c>
      <c r="D37" t="s">
        <v>74</v>
      </c>
    </row>
    <row r="38" spans="1:5" x14ac:dyDescent="0.25">
      <c r="A38" s="7" t="s">
        <v>50</v>
      </c>
      <c r="B38" s="8">
        <f>1/7</f>
        <v>0.14285714285714285</v>
      </c>
      <c r="C38" s="9">
        <f>1/3</f>
        <v>0.33333333333333331</v>
      </c>
    </row>
    <row r="39" spans="1:5" ht="15.75" thickBot="1" x14ac:dyDescent="0.3">
      <c r="A39" s="27" t="s">
        <v>51</v>
      </c>
      <c r="B39" s="30">
        <f>5/7</f>
        <v>0.7142857142857143</v>
      </c>
      <c r="C39" s="32">
        <f>2/3</f>
        <v>0.66666666666666663</v>
      </c>
    </row>
    <row r="40" spans="1:5" ht="15.75" thickBot="1" x14ac:dyDescent="0.3"/>
    <row r="41" spans="1:5" x14ac:dyDescent="0.25">
      <c r="A41" s="20" t="s">
        <v>69</v>
      </c>
      <c r="B41" s="5" t="s">
        <v>60</v>
      </c>
      <c r="C41" s="6" t="s">
        <v>61</v>
      </c>
    </row>
    <row r="42" spans="1:5" x14ac:dyDescent="0.25">
      <c r="A42" s="28" t="s">
        <v>52</v>
      </c>
      <c r="B42" s="31">
        <f>3/7</f>
        <v>0.42857142857142855</v>
      </c>
      <c r="C42" s="33">
        <f>1/3</f>
        <v>0.33333333333333331</v>
      </c>
    </row>
    <row r="43" spans="1:5" x14ac:dyDescent="0.25">
      <c r="A43" s="21" t="s">
        <v>53</v>
      </c>
      <c r="B43" s="19">
        <f>2/7</f>
        <v>0.2857142857142857</v>
      </c>
      <c r="C43" s="22">
        <f>2/3</f>
        <v>0.66666666666666663</v>
      </c>
    </row>
    <row r="44" spans="1:5" ht="15.75" thickBot="1" x14ac:dyDescent="0.3">
      <c r="A44" s="23" t="s">
        <v>54</v>
      </c>
      <c r="B44" s="26">
        <f>2/7</f>
        <v>0.2857142857142857</v>
      </c>
      <c r="C44" s="24">
        <f>0/3</f>
        <v>0</v>
      </c>
    </row>
    <row r="45" spans="1:5" x14ac:dyDescent="0.25">
      <c r="D45" t="s">
        <v>73</v>
      </c>
    </row>
    <row r="46" spans="1:5" ht="15.75" thickBot="1" x14ac:dyDescent="0.3">
      <c r="B46" t="s">
        <v>70</v>
      </c>
      <c r="C46" s="30">
        <f>B22*B39*B42</f>
        <v>0.21428571428571427</v>
      </c>
      <c r="D46">
        <f>15/70</f>
        <v>0.21428571428571427</v>
      </c>
      <c r="E46">
        <f>D46-C46</f>
        <v>0</v>
      </c>
    </row>
    <row r="47" spans="1:5" ht="15.75" thickBot="1" x14ac:dyDescent="0.3">
      <c r="B47" t="s">
        <v>71</v>
      </c>
      <c r="C47" s="32">
        <f>B23*C39*C42</f>
        <v>6.6666666666666652E-2</v>
      </c>
      <c r="D47">
        <f>2/30</f>
        <v>6.6666666666666666E-2</v>
      </c>
      <c r="E47">
        <f>D47-C47</f>
        <v>0</v>
      </c>
    </row>
    <row r="49" spans="2:2" x14ac:dyDescent="0.25">
      <c r="B49" t="s">
        <v>72</v>
      </c>
    </row>
  </sheetData>
  <autoFilter ref="A3:D13" xr:uid="{7BCFD043-B58A-4B81-8D75-97EC28AB9D5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Lectia 1 Ex. rezolvat</vt:lpstr>
      <vt:lpstr>Ex. Whitetable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Abu-Daher</dc:creator>
  <cp:lastModifiedBy>User</cp:lastModifiedBy>
  <dcterms:created xsi:type="dcterms:W3CDTF">2025-05-21T07:53:36Z</dcterms:created>
  <dcterms:modified xsi:type="dcterms:W3CDTF">2025-05-23T18:18:29Z</dcterms:modified>
</cp:coreProperties>
</file>